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5" i="1" l="1"/>
  <c r="I52" i="1"/>
  <c r="I49" i="1"/>
  <c r="I47" i="1"/>
  <c r="H43" i="1"/>
  <c r="D43" i="1"/>
  <c r="J40" i="1"/>
  <c r="J38" i="1"/>
  <c r="J36" i="1"/>
  <c r="I31" i="1"/>
  <c r="I28" i="1"/>
  <c r="I25" i="1"/>
  <c r="I23" i="1"/>
  <c r="I21" i="1"/>
  <c r="I16" i="1"/>
  <c r="I12" i="1"/>
  <c r="I7" i="1"/>
  <c r="I5" i="1"/>
  <c r="I3" i="1"/>
  <c r="I1" i="1"/>
</calcChain>
</file>

<file path=xl/sharedStrings.xml><?xml version="1.0" encoding="utf-8"?>
<sst xmlns="http://schemas.openxmlformats.org/spreadsheetml/2006/main" count="141" uniqueCount="95">
  <si>
    <t>Emp ID</t>
  </si>
  <si>
    <t>Name</t>
  </si>
  <si>
    <t>Department</t>
  </si>
  <si>
    <t>Salary</t>
  </si>
  <si>
    <t>City</t>
  </si>
  <si>
    <t>E104</t>
  </si>
  <si>
    <t>1. Find the Name of employee with Emp ID E104 using VLOOKUP.</t>
  </si>
  <si>
    <t>E101</t>
  </si>
  <si>
    <t>Amit</t>
  </si>
  <si>
    <t>HR</t>
  </si>
  <si>
    <t>Delhi</t>
  </si>
  <si>
    <t>2. Find the Department of employee E103.</t>
  </si>
  <si>
    <t>E102</t>
  </si>
  <si>
    <t>Neha</t>
  </si>
  <si>
    <t>IT</t>
  </si>
  <si>
    <t>Mumbai</t>
  </si>
  <si>
    <t>E103</t>
  </si>
  <si>
    <t>3. Find the Salary of employee E108.</t>
  </si>
  <si>
    <t>Rahul</t>
  </si>
  <si>
    <t>Finance</t>
  </si>
  <si>
    <t>Kolkata</t>
  </si>
  <si>
    <t>4. Find the City of employee E105.</t>
  </si>
  <si>
    <t>Priya</t>
  </si>
  <si>
    <t>Bangalore</t>
  </si>
  <si>
    <t>E108</t>
  </si>
  <si>
    <t>5. If Emp ID is entered in ny cell, retrive the Salary automatically.</t>
  </si>
  <si>
    <t>E105</t>
  </si>
  <si>
    <t>Arjun</t>
  </si>
  <si>
    <t>Marketing</t>
  </si>
  <si>
    <t>Pune</t>
  </si>
  <si>
    <t>6. If Emp ID is entered in any cell, retrive the Department.</t>
  </si>
  <si>
    <t>E106</t>
  </si>
  <si>
    <t>Riya</t>
  </si>
  <si>
    <t>E107</t>
  </si>
  <si>
    <t>Karan</t>
  </si>
  <si>
    <t>Sneha</t>
  </si>
  <si>
    <t>Chennai</t>
  </si>
  <si>
    <t>Student ID</t>
  </si>
  <si>
    <t>Maths</t>
  </si>
  <si>
    <t>Science</t>
  </si>
  <si>
    <t>English</t>
  </si>
  <si>
    <t>S103</t>
  </si>
  <si>
    <t>1. Find Maths marks of S103.</t>
  </si>
  <si>
    <t>S101</t>
  </si>
  <si>
    <t>Asha</t>
  </si>
  <si>
    <t>2. Find Science marks of S102.</t>
  </si>
  <si>
    <t>S102</t>
  </si>
  <si>
    <t>Ravi</t>
  </si>
  <si>
    <t>3. Find English marks of S105.</t>
  </si>
  <si>
    <t>Meena</t>
  </si>
  <si>
    <t>4. If Student ID is entered in any cell, return the Name.</t>
  </si>
  <si>
    <t>S104</t>
  </si>
  <si>
    <t>S105</t>
  </si>
  <si>
    <t>5. Retrieve Science marks dynamically using Student ID in any cell.</t>
  </si>
  <si>
    <t>Kiran</t>
  </si>
  <si>
    <t>Product ID</t>
  </si>
  <si>
    <t>P101</t>
  </si>
  <si>
    <t>P102</t>
  </si>
  <si>
    <t>P103</t>
  </si>
  <si>
    <t>P104</t>
  </si>
  <si>
    <t>P105</t>
  </si>
  <si>
    <t>1. Find the Price of product P103 using HLOOKUP.</t>
  </si>
  <si>
    <t>Product Name</t>
  </si>
  <si>
    <t>Laptop</t>
  </si>
  <si>
    <t>Mouse</t>
  </si>
  <si>
    <t>Keyboard</t>
  </si>
  <si>
    <t>Monitor</t>
  </si>
  <si>
    <t>Printer</t>
  </si>
  <si>
    <t>2. Find the Stock of P104.</t>
  </si>
  <si>
    <t>Price</t>
  </si>
  <si>
    <t>3. Retrieve Product Name of P101.</t>
  </si>
  <si>
    <t>Stock</t>
  </si>
  <si>
    <t>4. If Product ID is entered in any cell, return the Price.</t>
  </si>
  <si>
    <t>5. If Product ID is entered in any cell, return the Stock.</t>
  </si>
  <si>
    <t>ID</t>
  </si>
  <si>
    <t>Course</t>
  </si>
  <si>
    <t>Fees</t>
  </si>
  <si>
    <t>1. Retrieve Course name for C103.</t>
  </si>
  <si>
    <t>C101</t>
  </si>
  <si>
    <t>Rohan</t>
  </si>
  <si>
    <t>Excel</t>
  </si>
  <si>
    <t>C103</t>
  </si>
  <si>
    <t>2. Retrieve fees for C104.</t>
  </si>
  <si>
    <t>C102</t>
  </si>
  <si>
    <t>Ananya</t>
  </si>
  <si>
    <t>Power BI</t>
  </si>
  <si>
    <t>3. If Course ID entered in any cell, display Name.</t>
  </si>
  <si>
    <t>Vikram</t>
  </si>
  <si>
    <t>SQL</t>
  </si>
  <si>
    <t>C104</t>
  </si>
  <si>
    <t>4. If Course ID is entered in any cell, display Fees.</t>
  </si>
  <si>
    <t>Python</t>
  </si>
  <si>
    <t>C105</t>
  </si>
  <si>
    <t>Aman</t>
  </si>
  <si>
    <t>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</si>
</sst>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006100"/>
      <name val="Calibri"/>
      <family val="2"/>
      <scheme val="minor"/>
    </font>
    <font>
      <b/>
      <i/>
      <sz val="11"/>
      <color rgb="FF9C0006"/>
      <name val="Calibri"/>
      <family val="2"/>
      <scheme val="minor"/>
    </font>
    <font>
      <b/>
      <i/>
      <sz val="11"/>
      <color rgb="FF9C6500"/>
      <name val="Calibri"/>
      <family val="2"/>
      <scheme val="minor"/>
    </font>
    <font>
      <b/>
      <i/>
      <sz val="11"/>
      <color rgb="FF3F3F7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  <xf numFmtId="0" fontId="7" fillId="6" borderId="2" applyNumberFormat="0" applyAlignment="0" applyProtection="0"/>
    <xf numFmtId="0" fontId="8" fillId="6" borderId="1" applyNumberFormat="0" applyAlignment="0" applyProtection="0"/>
    <xf numFmtId="0" fontId="9" fillId="7" borderId="3" applyNumberFormat="0" applyAlignment="0" applyProtection="0"/>
    <xf numFmtId="0" fontId="1" fillId="8" borderId="4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38">
    <xf numFmtId="0" fontId="0" fillId="0" borderId="0" xfId="0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0" xfId="0" applyFont="1" applyBorder="1"/>
    <xf numFmtId="0" fontId="6" fillId="5" borderId="1" xfId="5"/>
    <xf numFmtId="0" fontId="12" fillId="2" borderId="0" xfId="2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8" borderId="4" xfId="9" applyFont="1"/>
    <xf numFmtId="0" fontId="4" fillId="3" borderId="9" xfId="3" applyBorder="1"/>
    <xf numFmtId="0" fontId="7" fillId="6" borderId="2" xfId="6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4" borderId="0" xfId="4"/>
    <xf numFmtId="0" fontId="8" fillId="6" borderId="1" xfId="7"/>
    <xf numFmtId="0" fontId="13" fillId="3" borderId="0" xfId="3" applyFont="1"/>
    <xf numFmtId="0" fontId="9" fillId="7" borderId="3" xfId="8"/>
    <xf numFmtId="0" fontId="1" fillId="12" borderId="0" xfId="13"/>
    <xf numFmtId="0" fontId="2" fillId="0" borderId="5" xfId="1" applyBorder="1"/>
    <xf numFmtId="0" fontId="2" fillId="0" borderId="7" xfId="1" applyBorder="1"/>
    <xf numFmtId="0" fontId="2" fillId="0" borderId="11" xfId="1" applyBorder="1"/>
    <xf numFmtId="0" fontId="2" fillId="0" borderId="13" xfId="1" applyBorder="1"/>
    <xf numFmtId="0" fontId="3" fillId="2" borderId="0" xfId="2"/>
    <xf numFmtId="0" fontId="1" fillId="13" borderId="9" xfId="14" applyBorder="1"/>
    <xf numFmtId="0" fontId="11" fillId="11" borderId="0" xfId="12"/>
    <xf numFmtId="0" fontId="14" fillId="4" borderId="0" xfId="4" applyFont="1"/>
    <xf numFmtId="0" fontId="4" fillId="3" borderId="0" xfId="3"/>
    <xf numFmtId="0" fontId="3" fillId="2" borderId="0" xfId="2" applyBorder="1"/>
    <xf numFmtId="0" fontId="4" fillId="3" borderId="0" xfId="3" applyBorder="1"/>
    <xf numFmtId="0" fontId="1" fillId="9" borderId="9" xfId="10" applyBorder="1"/>
    <xf numFmtId="0" fontId="1" fillId="10" borderId="0" xfId="11" applyBorder="1"/>
    <xf numFmtId="0" fontId="1" fillId="10" borderId="0" xfId="11"/>
    <xf numFmtId="0" fontId="15" fillId="5" borderId="1" xfId="5" applyFont="1"/>
    <xf numFmtId="0" fontId="5" fillId="4" borderId="9" xfId="4" applyBorder="1"/>
  </cellXfs>
  <cellStyles count="15">
    <cellStyle name="20% - Accent5" xfId="13" builtinId="46"/>
    <cellStyle name="40% - Accent2" xfId="10" builtinId="35"/>
    <cellStyle name="40% - Accent3" xfId="11" builtinId="39"/>
    <cellStyle name="40% - Accent6" xfId="14" builtinId="51"/>
    <cellStyle name="60% - Accent4" xfId="12" builtinId="44"/>
    <cellStyle name="Bad" xfId="3" builtinId="27"/>
    <cellStyle name="Calculation" xfId="7" builtinId="22"/>
    <cellStyle name="Check Cell" xfId="8" builtinId="23"/>
    <cellStyle name="Good" xfId="2" builtinId="26"/>
    <cellStyle name="Heading 4" xfId="1" builtinId="19"/>
    <cellStyle name="Input" xfId="5" builtinId="20"/>
    <cellStyle name="Neutral" xfId="4" builtinId="28"/>
    <cellStyle name="Normal" xfId="0" builtinId="0"/>
    <cellStyle name="Note" xfId="9" builtinId="10"/>
    <cellStyle name="Output" xfId="6" builtinId="21"/>
  </cellStyles>
  <dxfs count="5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E9" totalsRowShown="0" headerRowDxfId="53" headerRowBorderDxfId="51" tableBorderDxfId="52" totalsRowBorderDxfId="50">
  <tableColumns count="5">
    <tableColumn id="1" name="Emp ID" dataDxfId="49"/>
    <tableColumn id="2" name="Name" dataDxfId="48"/>
    <tableColumn id="3" name="Department" dataDxfId="47"/>
    <tableColumn id="4" name="Salary" dataDxfId="46"/>
    <tableColumn id="5" name="City" dataDxfId="4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H11:I12" totalsRowShown="0" headerRowDxfId="44" headerRowBorderDxfId="42" tableBorderDxfId="43" totalsRowBorderDxfId="41">
  <tableColumns count="2">
    <tableColumn id="1" name="Emp ID" dataDxfId="40"/>
    <tableColumn id="2" name="Salary" dataDxfId="39">
      <calculatedColumnFormula>VLOOKUP(H12,A1:E9,4,0)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H15:I16" totalsRowShown="0" headerRowDxfId="38" headerRowBorderDxfId="36" tableBorderDxfId="37" totalsRowBorderDxfId="35">
  <tableColumns count="2">
    <tableColumn id="1" name="Emp ID" dataDxfId="34"/>
    <tableColumn id="2" name="Department" dataDxfId="33">
      <calculatedColumnFormula>VLOOKUP(H16,A1:E9,3,0)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21:E26" totalsRowShown="0" headerRowDxfId="32" headerRowBorderDxfId="30" tableBorderDxfId="31" totalsRowBorderDxfId="29">
  <tableColumns count="5">
    <tableColumn id="1" name="Student ID" dataDxfId="28"/>
    <tableColumn id="2" name="Name" dataDxfId="27"/>
    <tableColumn id="3" name="Maths" dataDxfId="26"/>
    <tableColumn id="4" name="Science" dataDxfId="25"/>
    <tableColumn id="5" name="English" dataDxfId="24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H27:I28" totalsRowShown="0" headerRowDxfId="23" headerRowBorderDxfId="21" tableBorderDxfId="22" totalsRowBorderDxfId="20" headerRowCellStyle="Heading 4" dataCellStyle="Heading 4">
  <tableColumns count="2">
    <tableColumn id="1" name="Student ID" dataDxfId="19" dataCellStyle="Heading 4"/>
    <tableColumn id="2" name="Name" dataDxfId="18" dataCellStyle="Heading 4">
      <calculatedColumnFormula>VLOOKUP(H28,A21:E26,2,0)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7" displayName="Table7" ref="B36:G39" totalsRowShown="0" headerRowDxfId="17" headerRowBorderDxfId="15" tableBorderDxfId="16" totalsRowBorderDxfId="14">
  <tableColumns count="6">
    <tableColumn id="1" name="Product ID" dataDxfId="13"/>
    <tableColumn id="2" name="P101" dataDxfId="12"/>
    <tableColumn id="3" name="P102" dataDxfId="11"/>
    <tableColumn id="4" name="P103" dataDxfId="10"/>
    <tableColumn id="5" name="P104" dataDxfId="9"/>
    <tableColumn id="6" name="P105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Table8" displayName="Table8" ref="B46:E51" totalsRowShown="0" headerRowDxfId="7" headerRowBorderDxfId="5" tableBorderDxfId="6" totalsRowBorderDxfId="4">
  <tableColumns count="4">
    <tableColumn id="1" name="ID" dataDxfId="3"/>
    <tableColumn id="2" name="Name" dataDxfId="2"/>
    <tableColumn id="3" name="Course" dataDxfId="1"/>
    <tableColumn id="4" name="Fe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35" workbookViewId="0">
      <selection activeCell="D11" sqref="D11"/>
    </sheetView>
  </sheetViews>
  <sheetFormatPr defaultRowHeight="15" x14ac:dyDescent="0.25"/>
  <cols>
    <col min="1" max="1" width="12.42578125" customWidth="1"/>
    <col min="2" max="2" width="13.7109375" bestFit="1" customWidth="1"/>
    <col min="3" max="3" width="13.85546875" customWidth="1"/>
    <col min="4" max="4" width="9.85546875" customWidth="1"/>
    <col min="5" max="5" width="9.85546875" bestFit="1" customWidth="1"/>
    <col min="6" max="6" width="9.85546875" customWidth="1"/>
    <col min="7" max="7" width="10.140625" bestFit="1" customWidth="1"/>
    <col min="8" max="8" width="12.42578125" customWidth="1"/>
    <col min="9" max="9" width="13.85546875" customWidth="1"/>
    <col min="12" max="12" width="59.710937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5">
        <v>1</v>
      </c>
      <c r="H1" s="5" t="s">
        <v>5</v>
      </c>
      <c r="I1" s="5" t="str">
        <f>VLOOKUP(H1,A1:E9,2,0)</f>
        <v>Priya</v>
      </c>
      <c r="L1" s="6" t="s">
        <v>6</v>
      </c>
    </row>
    <row r="2" spans="1:12" x14ac:dyDescent="0.25">
      <c r="A2" s="7" t="s">
        <v>7</v>
      </c>
      <c r="B2" s="8" t="s">
        <v>8</v>
      </c>
      <c r="C2" s="8" t="s">
        <v>9</v>
      </c>
      <c r="D2" s="8">
        <v>35000</v>
      </c>
      <c r="E2" s="9" t="s">
        <v>10</v>
      </c>
      <c r="F2" s="10"/>
      <c r="L2" s="6" t="s">
        <v>11</v>
      </c>
    </row>
    <row r="3" spans="1:12" x14ac:dyDescent="0.25">
      <c r="A3" s="7" t="s">
        <v>12</v>
      </c>
      <c r="B3" s="8" t="s">
        <v>13</v>
      </c>
      <c r="C3" s="8" t="s">
        <v>14</v>
      </c>
      <c r="D3" s="8">
        <v>50000</v>
      </c>
      <c r="E3" s="9" t="s">
        <v>15</v>
      </c>
      <c r="F3" s="10"/>
      <c r="G3" s="11">
        <v>2</v>
      </c>
      <c r="H3" s="11" t="s">
        <v>16</v>
      </c>
      <c r="I3" s="11" t="str">
        <f>VLOOKUP(H3,A1:E9,3,0)</f>
        <v>Finance</v>
      </c>
      <c r="L3" s="6" t="s">
        <v>17</v>
      </c>
    </row>
    <row r="4" spans="1:12" x14ac:dyDescent="0.25">
      <c r="A4" s="7" t="s">
        <v>16</v>
      </c>
      <c r="B4" s="8" t="s">
        <v>18</v>
      </c>
      <c r="C4" s="8" t="s">
        <v>19</v>
      </c>
      <c r="D4" s="8">
        <v>45000</v>
      </c>
      <c r="E4" s="9" t="s">
        <v>20</v>
      </c>
      <c r="F4" s="10"/>
      <c r="L4" s="6" t="s">
        <v>21</v>
      </c>
    </row>
    <row r="5" spans="1:12" x14ac:dyDescent="0.25">
      <c r="A5" s="7" t="s">
        <v>5</v>
      </c>
      <c r="B5" s="8" t="s">
        <v>22</v>
      </c>
      <c r="C5" s="8" t="s">
        <v>14</v>
      </c>
      <c r="D5" s="8">
        <v>52000</v>
      </c>
      <c r="E5" s="9" t="s">
        <v>23</v>
      </c>
      <c r="F5" s="10"/>
      <c r="G5" s="12">
        <v>3</v>
      </c>
      <c r="H5" s="12" t="s">
        <v>24</v>
      </c>
      <c r="I5" s="12">
        <f>VLOOKUP(H5,A1:E9,4,0)</f>
        <v>42000</v>
      </c>
      <c r="L5" s="6" t="s">
        <v>25</v>
      </c>
    </row>
    <row r="6" spans="1:12" x14ac:dyDescent="0.25">
      <c r="A6" s="7" t="s">
        <v>26</v>
      </c>
      <c r="B6" s="8" t="s">
        <v>27</v>
      </c>
      <c r="C6" s="8" t="s">
        <v>28</v>
      </c>
      <c r="D6" s="8">
        <v>40000</v>
      </c>
      <c r="E6" s="9" t="s">
        <v>29</v>
      </c>
      <c r="F6" s="10"/>
      <c r="L6" s="6" t="s">
        <v>30</v>
      </c>
    </row>
    <row r="7" spans="1:12" x14ac:dyDescent="0.25">
      <c r="A7" s="7" t="s">
        <v>31</v>
      </c>
      <c r="B7" s="8" t="s">
        <v>32</v>
      </c>
      <c r="C7" s="8" t="s">
        <v>9</v>
      </c>
      <c r="D7" s="8">
        <v>36000</v>
      </c>
      <c r="E7" s="9" t="s">
        <v>10</v>
      </c>
      <c r="F7" s="10"/>
      <c r="G7" s="13">
        <v>4</v>
      </c>
      <c r="H7" s="13" t="s">
        <v>26</v>
      </c>
      <c r="I7" s="13" t="str">
        <f>VLOOKUP(H7,A1:E9,5,0)</f>
        <v>Pune</v>
      </c>
    </row>
    <row r="8" spans="1:12" x14ac:dyDescent="0.25">
      <c r="A8" s="7" t="s">
        <v>33</v>
      </c>
      <c r="B8" s="8" t="s">
        <v>34</v>
      </c>
      <c r="C8" s="8" t="s">
        <v>19</v>
      </c>
      <c r="D8" s="8">
        <v>47000</v>
      </c>
      <c r="E8" s="9" t="s">
        <v>15</v>
      </c>
      <c r="F8" s="10"/>
    </row>
    <row r="9" spans="1:12" x14ac:dyDescent="0.25">
      <c r="A9" s="14" t="s">
        <v>24</v>
      </c>
      <c r="B9" s="15" t="s">
        <v>35</v>
      </c>
      <c r="C9" s="15" t="s">
        <v>28</v>
      </c>
      <c r="D9" s="15">
        <v>42000</v>
      </c>
      <c r="E9" s="16" t="s">
        <v>36</v>
      </c>
      <c r="F9" s="10"/>
    </row>
    <row r="11" spans="1:12" x14ac:dyDescent="0.25">
      <c r="G11">
        <v>5</v>
      </c>
      <c r="H11" s="1" t="s">
        <v>0</v>
      </c>
      <c r="I11" s="3" t="s">
        <v>3</v>
      </c>
    </row>
    <row r="12" spans="1:12" x14ac:dyDescent="0.25">
      <c r="H12" s="14" t="s">
        <v>12</v>
      </c>
      <c r="I12" s="16">
        <f>VLOOKUP(H12,A1:E9,4,0)</f>
        <v>50000</v>
      </c>
    </row>
    <row r="15" spans="1:12" x14ac:dyDescent="0.25">
      <c r="G15">
        <v>6</v>
      </c>
      <c r="H15" s="1" t="s">
        <v>0</v>
      </c>
      <c r="I15" s="3" t="s">
        <v>2</v>
      </c>
    </row>
    <row r="16" spans="1:12" x14ac:dyDescent="0.25">
      <c r="H16" s="14" t="s">
        <v>16</v>
      </c>
      <c r="I16" s="16" t="str">
        <f>VLOOKUP(H16,A1:E9,3,0)</f>
        <v>Finance</v>
      </c>
    </row>
    <row r="18" spans="1:12" s="17" customFormat="1" x14ac:dyDescent="0.25"/>
    <row r="21" spans="1:12" x14ac:dyDescent="0.25">
      <c r="A21" s="1" t="s">
        <v>37</v>
      </c>
      <c r="B21" s="2" t="s">
        <v>1</v>
      </c>
      <c r="C21" s="2" t="s">
        <v>38</v>
      </c>
      <c r="D21" s="2" t="s">
        <v>39</v>
      </c>
      <c r="E21" s="3" t="s">
        <v>40</v>
      </c>
      <c r="F21" s="4"/>
      <c r="G21" s="18">
        <v>1</v>
      </c>
      <c r="H21" s="18" t="s">
        <v>41</v>
      </c>
      <c r="I21" s="18">
        <f>VLOOKUP(H21,A21:E26,3,0)</f>
        <v>88</v>
      </c>
      <c r="L21" s="19" t="s">
        <v>42</v>
      </c>
    </row>
    <row r="22" spans="1:12" ht="15.75" thickBot="1" x14ac:dyDescent="0.3">
      <c r="A22" s="7" t="s">
        <v>43</v>
      </c>
      <c r="B22" s="8" t="s">
        <v>44</v>
      </c>
      <c r="C22" s="8">
        <v>78</v>
      </c>
      <c r="D22" s="8">
        <v>82</v>
      </c>
      <c r="E22" s="9">
        <v>74</v>
      </c>
      <c r="F22" s="10"/>
      <c r="L22" s="19" t="s">
        <v>45</v>
      </c>
    </row>
    <row r="23" spans="1:12" ht="16.5" thickTop="1" thickBot="1" x14ac:dyDescent="0.3">
      <c r="A23" s="7" t="s">
        <v>46</v>
      </c>
      <c r="B23" s="8" t="s">
        <v>47</v>
      </c>
      <c r="C23" s="8">
        <v>65</v>
      </c>
      <c r="D23" s="8">
        <v>70</v>
      </c>
      <c r="E23" s="9">
        <v>68</v>
      </c>
      <c r="F23" s="10"/>
      <c r="G23" s="20">
        <v>2</v>
      </c>
      <c r="H23" s="20" t="s">
        <v>46</v>
      </c>
      <c r="I23" s="20">
        <f>VLOOKUP(H23,A21:E26,4,0)</f>
        <v>70</v>
      </c>
      <c r="L23" s="19" t="s">
        <v>48</v>
      </c>
    </row>
    <row r="24" spans="1:12" ht="15.75" thickTop="1" x14ac:dyDescent="0.25">
      <c r="A24" s="7" t="s">
        <v>41</v>
      </c>
      <c r="B24" s="8" t="s">
        <v>49</v>
      </c>
      <c r="C24" s="8">
        <v>88</v>
      </c>
      <c r="D24" s="8">
        <v>91</v>
      </c>
      <c r="E24" s="9">
        <v>85</v>
      </c>
      <c r="F24" s="10"/>
      <c r="L24" s="19" t="s">
        <v>50</v>
      </c>
    </row>
    <row r="25" spans="1:12" x14ac:dyDescent="0.25">
      <c r="A25" s="7" t="s">
        <v>51</v>
      </c>
      <c r="B25" s="8" t="s">
        <v>27</v>
      </c>
      <c r="C25" s="8">
        <v>72</v>
      </c>
      <c r="D25" s="8">
        <v>75</v>
      </c>
      <c r="E25" s="9">
        <v>70</v>
      </c>
      <c r="F25" s="10"/>
      <c r="G25" s="13">
        <v>3</v>
      </c>
      <c r="H25" s="13" t="s">
        <v>52</v>
      </c>
      <c r="I25" s="13">
        <f>VLOOKUP(H25,A21:E26,5,0)</f>
        <v>89</v>
      </c>
      <c r="L25" s="19" t="s">
        <v>53</v>
      </c>
    </row>
    <row r="26" spans="1:12" x14ac:dyDescent="0.25">
      <c r="A26" s="14" t="s">
        <v>52</v>
      </c>
      <c r="B26" s="15" t="s">
        <v>54</v>
      </c>
      <c r="C26" s="15">
        <v>90</v>
      </c>
      <c r="D26" s="15">
        <v>93</v>
      </c>
      <c r="E26" s="16">
        <v>89</v>
      </c>
      <c r="F26" s="10"/>
    </row>
    <row r="27" spans="1:12" x14ac:dyDescent="0.25">
      <c r="G27" s="21">
        <v>4</v>
      </c>
      <c r="H27" s="22" t="s">
        <v>37</v>
      </c>
      <c r="I27" s="23" t="s">
        <v>1</v>
      </c>
    </row>
    <row r="28" spans="1:12" x14ac:dyDescent="0.25">
      <c r="H28" s="24" t="s">
        <v>43</v>
      </c>
      <c r="I28" s="25" t="str">
        <f>VLOOKUP(H28,A21:E26,2,0)</f>
        <v>Asha</v>
      </c>
    </row>
    <row r="30" spans="1:12" x14ac:dyDescent="0.25">
      <c r="G30" s="26">
        <v>5</v>
      </c>
      <c r="H30" s="27" t="s">
        <v>37</v>
      </c>
      <c r="I30" s="27" t="s">
        <v>39</v>
      </c>
    </row>
    <row r="31" spans="1:12" x14ac:dyDescent="0.25">
      <c r="H31" s="27" t="s">
        <v>43</v>
      </c>
      <c r="I31" s="27">
        <f>VLOOKUP(H31,A21:E26,4,0)</f>
        <v>82</v>
      </c>
    </row>
    <row r="33" spans="2:12" s="28" customFormat="1" x14ac:dyDescent="0.25"/>
    <row r="36" spans="2:12" x14ac:dyDescent="0.25"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3" t="s">
        <v>60</v>
      </c>
      <c r="H36" s="18">
        <v>1</v>
      </c>
      <c r="I36" s="18" t="s">
        <v>58</v>
      </c>
      <c r="J36" s="18">
        <f>HLOOKUP(I36,B36:G39,3,0)</f>
        <v>1200</v>
      </c>
      <c r="L36" s="29" t="s">
        <v>61</v>
      </c>
    </row>
    <row r="37" spans="2:12" x14ac:dyDescent="0.25">
      <c r="B37" s="7" t="s">
        <v>62</v>
      </c>
      <c r="C37" s="8" t="s">
        <v>63</v>
      </c>
      <c r="D37" s="8" t="s">
        <v>64</v>
      </c>
      <c r="E37" s="8" t="s">
        <v>65</v>
      </c>
      <c r="F37" s="8" t="s">
        <v>66</v>
      </c>
      <c r="G37" s="9" t="s">
        <v>67</v>
      </c>
      <c r="H37" s="10"/>
      <c r="L37" s="29" t="s">
        <v>68</v>
      </c>
    </row>
    <row r="38" spans="2:12" x14ac:dyDescent="0.25">
      <c r="B38" s="7" t="s">
        <v>69</v>
      </c>
      <c r="C38" s="8">
        <v>55000</v>
      </c>
      <c r="D38" s="8">
        <v>500</v>
      </c>
      <c r="E38" s="8">
        <v>1200</v>
      </c>
      <c r="F38" s="8">
        <v>9000</v>
      </c>
      <c r="G38" s="9">
        <v>7000</v>
      </c>
      <c r="H38" s="5">
        <v>2</v>
      </c>
      <c r="I38" s="5" t="s">
        <v>59</v>
      </c>
      <c r="J38" s="5">
        <f>HLOOKUP(I38,B36:G39,4,0)</f>
        <v>40</v>
      </c>
      <c r="L38" s="29" t="s">
        <v>70</v>
      </c>
    </row>
    <row r="39" spans="2:12" x14ac:dyDescent="0.25">
      <c r="B39" s="14" t="s">
        <v>71</v>
      </c>
      <c r="C39" s="15">
        <v>25</v>
      </c>
      <c r="D39" s="15">
        <v>150</v>
      </c>
      <c r="E39" s="15">
        <v>80</v>
      </c>
      <c r="F39" s="15">
        <v>40</v>
      </c>
      <c r="G39" s="16">
        <v>35</v>
      </c>
      <c r="H39" s="10"/>
      <c r="L39" s="29" t="s">
        <v>72</v>
      </c>
    </row>
    <row r="40" spans="2:12" x14ac:dyDescent="0.25">
      <c r="H40" s="30">
        <v>3</v>
      </c>
      <c r="I40" s="12" t="s">
        <v>56</v>
      </c>
      <c r="J40" s="12" t="str">
        <f>HLOOKUP(I40,B36:G39,2,0)</f>
        <v>Laptop</v>
      </c>
      <c r="L40" s="29" t="s">
        <v>73</v>
      </c>
    </row>
    <row r="41" spans="2:12" x14ac:dyDescent="0.25">
      <c r="B41" s="4"/>
      <c r="C41" s="4"/>
      <c r="D41" s="4"/>
      <c r="E41" s="4"/>
      <c r="F41" s="4"/>
      <c r="G41" s="4"/>
    </row>
    <row r="42" spans="2:12" x14ac:dyDescent="0.25">
      <c r="B42" s="31">
        <v>4</v>
      </c>
      <c r="C42" s="27" t="s">
        <v>55</v>
      </c>
      <c r="D42" s="27" t="s">
        <v>69</v>
      </c>
      <c r="E42" s="10"/>
      <c r="F42" s="32">
        <v>5</v>
      </c>
      <c r="G42" s="33" t="s">
        <v>55</v>
      </c>
      <c r="H42" s="33" t="s">
        <v>71</v>
      </c>
    </row>
    <row r="43" spans="2:12" x14ac:dyDescent="0.25">
      <c r="B43" s="10"/>
      <c r="C43" s="27" t="s">
        <v>58</v>
      </c>
      <c r="D43" s="27">
        <f>HLOOKUP(C43,B36:G39,3,0)</f>
        <v>1200</v>
      </c>
      <c r="E43" s="10"/>
      <c r="F43" s="10"/>
      <c r="G43" s="33" t="s">
        <v>58</v>
      </c>
      <c r="H43" s="33">
        <f>HLOOKUP(G43,B36:G39,4,0)</f>
        <v>80</v>
      </c>
    </row>
    <row r="44" spans="2:12" s="35" customFormat="1" x14ac:dyDescent="0.25">
      <c r="B44" s="34"/>
      <c r="C44" s="34"/>
      <c r="D44" s="34"/>
      <c r="E44" s="34"/>
      <c r="F44" s="34"/>
      <c r="G44" s="34"/>
    </row>
    <row r="46" spans="2:12" x14ac:dyDescent="0.25">
      <c r="B46" s="1" t="s">
        <v>74</v>
      </c>
      <c r="C46" s="2" t="s">
        <v>1</v>
      </c>
      <c r="D46" s="2" t="s">
        <v>75</v>
      </c>
      <c r="E46" s="3" t="s">
        <v>76</v>
      </c>
      <c r="F46" s="4"/>
      <c r="L46" s="36" t="s">
        <v>77</v>
      </c>
    </row>
    <row r="47" spans="2:12" x14ac:dyDescent="0.25">
      <c r="B47" s="7" t="s">
        <v>78</v>
      </c>
      <c r="C47" s="8" t="s">
        <v>79</v>
      </c>
      <c r="D47" s="8" t="s">
        <v>80</v>
      </c>
      <c r="E47" s="9">
        <v>3000</v>
      </c>
      <c r="F47" s="10"/>
      <c r="G47" s="5">
        <v>1</v>
      </c>
      <c r="H47" s="5" t="s">
        <v>81</v>
      </c>
      <c r="I47" s="5" t="str">
        <f>VLOOKUP(H47,B46:E51,3,0)</f>
        <v>SQL</v>
      </c>
      <c r="L47" s="36" t="s">
        <v>82</v>
      </c>
    </row>
    <row r="48" spans="2:12" x14ac:dyDescent="0.25">
      <c r="B48" s="7" t="s">
        <v>83</v>
      </c>
      <c r="C48" s="8" t="s">
        <v>84</v>
      </c>
      <c r="D48" s="8" t="s">
        <v>85</v>
      </c>
      <c r="E48" s="9">
        <v>5000</v>
      </c>
      <c r="F48" s="10"/>
      <c r="L48" s="36" t="s">
        <v>86</v>
      </c>
    </row>
    <row r="49" spans="2:12" x14ac:dyDescent="0.25">
      <c r="B49" s="7" t="s">
        <v>81</v>
      </c>
      <c r="C49" s="8" t="s">
        <v>87</v>
      </c>
      <c r="D49" s="8" t="s">
        <v>88</v>
      </c>
      <c r="E49" s="9">
        <v>4000</v>
      </c>
      <c r="F49" s="10"/>
      <c r="G49" s="18">
        <v>2</v>
      </c>
      <c r="H49" s="18" t="s">
        <v>89</v>
      </c>
      <c r="I49" s="18">
        <f>VLOOKUP(H49,B46:E51,4,0)</f>
        <v>6000</v>
      </c>
      <c r="L49" s="36" t="s">
        <v>90</v>
      </c>
    </row>
    <row r="50" spans="2:12" x14ac:dyDescent="0.25">
      <c r="B50" s="7" t="s">
        <v>89</v>
      </c>
      <c r="C50" s="8" t="s">
        <v>13</v>
      </c>
      <c r="D50" s="8" t="s">
        <v>91</v>
      </c>
      <c r="E50" s="9">
        <v>6000</v>
      </c>
      <c r="F50" s="10"/>
    </row>
    <row r="51" spans="2:12" x14ac:dyDescent="0.25">
      <c r="B51" s="14" t="s">
        <v>92</v>
      </c>
      <c r="C51" s="15" t="s">
        <v>93</v>
      </c>
      <c r="D51" s="15" t="s">
        <v>94</v>
      </c>
      <c r="E51" s="16">
        <v>4500</v>
      </c>
      <c r="F51" s="10"/>
      <c r="G51" s="11">
        <v>3</v>
      </c>
      <c r="H51" s="37" t="s">
        <v>74</v>
      </c>
      <c r="I51" s="37" t="s">
        <v>1</v>
      </c>
    </row>
    <row r="52" spans="2:12" x14ac:dyDescent="0.25">
      <c r="H52" s="37" t="s">
        <v>78</v>
      </c>
      <c r="I52" s="37" t="str">
        <f>VLOOKUP(H52,B46:E51,2,0)</f>
        <v>Rohan</v>
      </c>
    </row>
    <row r="54" spans="2:12" x14ac:dyDescent="0.25">
      <c r="G54" s="26">
        <v>4</v>
      </c>
      <c r="H54" s="27" t="s">
        <v>74</v>
      </c>
      <c r="I54" s="27" t="s">
        <v>76</v>
      </c>
    </row>
    <row r="55" spans="2:12" x14ac:dyDescent="0.25">
      <c r="H55" s="27" t="s">
        <v>78</v>
      </c>
      <c r="I55" s="27">
        <f>VLOOKUP(H55,B46:E51,4,0)</f>
        <v>3000</v>
      </c>
    </row>
  </sheetData>
  <dataValidations count="4">
    <dataValidation type="list" allowBlank="1" showInputMessage="1" showErrorMessage="1" sqref="H52 H55">
      <formula1>$B$47:$B$51</formula1>
    </dataValidation>
    <dataValidation type="list" allowBlank="1" showInputMessage="1" showErrorMessage="1" sqref="C43 G43">
      <formula1>$C$36:$G$36</formula1>
    </dataValidation>
    <dataValidation type="list" allowBlank="1" showInputMessage="1" showErrorMessage="1" sqref="H28 H31">
      <formula1>$A$22:$A$26</formula1>
    </dataValidation>
    <dataValidation type="list" allowBlank="1" showInputMessage="1" showErrorMessage="1" sqref="H12 H16">
      <formula1>$A$2:$A$9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2026-08-07T15:46:41Z</dcterms:created>
  <dcterms:modified xsi:type="dcterms:W3CDTF">2026-08-07T15:56:08Z</dcterms:modified>
</cp:coreProperties>
</file>