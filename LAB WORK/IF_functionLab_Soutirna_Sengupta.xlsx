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6815" windowHeight="71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F3" i="1"/>
  <c r="F4" i="1"/>
  <c r="F5" i="1"/>
  <c r="F6" i="1"/>
  <c r="F7" i="1"/>
  <c r="F2" i="1"/>
  <c r="G3" i="1"/>
  <c r="G4" i="1"/>
  <c r="G5" i="1"/>
  <c r="G6" i="1"/>
  <c r="G7" i="1"/>
  <c r="G2" i="1"/>
</calcChain>
</file>

<file path=xl/sharedStrings.xml><?xml version="1.0" encoding="utf-8"?>
<sst xmlns="http://schemas.openxmlformats.org/spreadsheetml/2006/main" count="34" uniqueCount="32">
  <si>
    <t>Product</t>
  </si>
  <si>
    <t>Sales</t>
  </si>
  <si>
    <t>Target</t>
  </si>
  <si>
    <t>Region</t>
  </si>
  <si>
    <t>Product A</t>
  </si>
  <si>
    <t>Product B</t>
  </si>
  <si>
    <t>Product C</t>
  </si>
  <si>
    <t>Product D</t>
  </si>
  <si>
    <t>Product E</t>
  </si>
  <si>
    <t>Product F</t>
  </si>
  <si>
    <t>North</t>
  </si>
  <si>
    <t>South</t>
  </si>
  <si>
    <t>East</t>
  </si>
  <si>
    <t>West</t>
  </si>
  <si>
    <t>Product ID</t>
  </si>
  <si>
    <t>Sales_Status</t>
  </si>
  <si>
    <t>Eligibility</t>
  </si>
  <si>
    <t>Commission_Rate</t>
  </si>
  <si>
    <t>Bonus_Amount</t>
  </si>
  <si>
    <t>Sales_Performance</t>
  </si>
  <si>
    <t>Price_Tier</t>
  </si>
  <si>
    <t>Year_End_Bonus</t>
  </si>
  <si>
    <t>Performers</t>
  </si>
  <si>
    <t>1) Use the IF function to evaluate whether each product met its sales target.</t>
  </si>
  <si>
    <t>2) Use the IF function to determine if a product is eligible for a regional bonus. Products in the "North" region with sales over 200 are eligible.</t>
  </si>
  <si>
    <t>3) Use nested IF funtions to assign a commission rate based based on sales. Sales&gt;=200 get 10% commission, sales&gt;=150 get a 7% commission, and others get a 5% commission.</t>
  </si>
  <si>
    <t>4) Use the IF function to calculate a bonus amount. If sales met or exceed the target, the bonus is 10% of the sales; otherwise, it's 5%.</t>
  </si>
  <si>
    <t>5) Use the IF function to categorize sales performance as "excellent"(&gt;=200), "Good"(&gt;=150), or "Needs Improvement"(&lt;150).</t>
  </si>
  <si>
    <t>6) Use the IF function to assign a price tier based on the sales values. "High" for sales&gt;200, "Medium" for sales between 100 &amp;200, and "Low" for sales&lt;100.</t>
  </si>
  <si>
    <t>7) Use the IF function to calculate the year-end bonus. If sales&gt;=150 and region is "North", the bonus is $500, otherwise, it's $300.</t>
  </si>
  <si>
    <t>8) Use the IF function to mark high perforemers. A product is a high performer if its sales are in the top 25% of all sales.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</si>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</sst>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A7D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2" fillId="0" borderId="12" xfId="0" applyFont="1" applyFill="1" applyBorder="1"/>
    <xf numFmtId="0" fontId="3" fillId="2" borderId="1" xfId="1" applyFont="1"/>
  </cellXfs>
  <cellStyles count="2">
    <cellStyle name="Calculation" xfId="1" builtinId="22"/>
    <cellStyle name="Normal" xfId="0" builtinId="0"/>
  </cellStyles>
  <dxfs count="49"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7" totalsRowShown="0" headerRowDxfId="40" headerRowBorderDxfId="47" tableBorderDxfId="48" totalsRowBorderDxfId="46">
  <autoFilter ref="A1:E7"/>
  <tableColumns count="5">
    <tableColumn id="1" name="Product ID" dataDxfId="45"/>
    <tableColumn id="2" name="Product" dataDxfId="44"/>
    <tableColumn id="3" name="Sales" dataDxfId="43"/>
    <tableColumn id="4" name="Target" dataDxfId="42"/>
    <tableColumn id="5" name="Region" dataDxfId="41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F1:F7" totalsRowShown="0" headerRowDxfId="35" headerRowBorderDxfId="38" tableBorderDxfId="39" totalsRowBorderDxfId="37">
  <autoFilter ref="F1:F7"/>
  <tableColumns count="1">
    <tableColumn id="1" name="Sales_Status" dataDxfId="36">
      <calculatedColumnFormula>IF(C2&gt;=D2,"MET TARGET","NOT MET")</calculatedColumnFormula>
    </tableColumn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G1:G7" totalsRowShown="0" headerRowDxfId="30" headerRowBorderDxfId="33" tableBorderDxfId="34" totalsRowBorderDxfId="32">
  <autoFilter ref="G1:G7"/>
  <tableColumns count="1">
    <tableColumn id="1" name="Eligibility" dataDxfId="31">
      <calculatedColumnFormula>IF(AND(E2="North",C2&gt;200),"ELIGIBLE","NOT ELIGIBLE")</calculatedColumnFormula>
    </tableColumn>
  </tableColumns>
  <tableStyleInfo name="TableStyleMedium20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H1:H7" totalsRowShown="0" headerRowDxfId="25" headerRowBorderDxfId="28" tableBorderDxfId="29" totalsRowBorderDxfId="27">
  <autoFilter ref="H1:H7"/>
  <tableColumns count="1">
    <tableColumn id="1" name="Commission_Rate" dataDxfId="26">
      <calculatedColumnFormula>IF(C2&gt;=200,10%,IF(C2&gt;=150,7%,5%))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id="6" name="Table6" displayName="Table6" ref="I1:I7" totalsRowShown="0" headerRowDxfId="20" headerRowBorderDxfId="23" tableBorderDxfId="24" totalsRowBorderDxfId="22">
  <autoFilter ref="I1:I7"/>
  <tableColumns count="1">
    <tableColumn id="1" name="Bonus_Amount" dataDxfId="21">
      <calculatedColumnFormula>IF(C2&gt;=D2,C2*10%,C2*5%)</calculatedColumnFormula>
    </tableColumn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id="7" name="Table7" displayName="Table7" ref="J1:J7" totalsRowShown="0" headerRowDxfId="15" headerRowBorderDxfId="18" tableBorderDxfId="19" totalsRowBorderDxfId="17">
  <autoFilter ref="J1:J7"/>
  <tableColumns count="1">
    <tableColumn id="1" name="Sales_Performance" dataDxfId="16">
      <calculatedColumnFormula>IF(C2&gt;=200,"Excellent",IF(C2&gt;=150,"Good","Needs Improvement"))</calculatedColumnFormula>
    </tableColumn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K1:K7" totalsRowShown="0" headerRowDxfId="10" headerRowBorderDxfId="13" tableBorderDxfId="14" totalsRowBorderDxfId="12">
  <autoFilter ref="K1:K7"/>
  <tableColumns count="1">
    <tableColumn id="1" name="Price_Tier" dataDxfId="11">
      <calculatedColumnFormula>IF(C2&gt;200,"HIGH",IF(C2&gt;=100,"MEDIUM","LOW"))</calculatedColumnFormula>
    </tableColumn>
  </tableColumns>
  <tableStyleInfo name="TableStyleMedium14" showFirstColumn="0" showLastColumn="0" showRowStripes="1" showColumnStripes="0"/>
</table>
</file>

<file path=xl/tables/table8.xml><?xml version="1.0" encoding="utf-8"?>
<table xmlns="http://schemas.openxmlformats.org/spreadsheetml/2006/main" id="9" name="Table9" displayName="Table9" ref="L1:L7" totalsRowShown="0" headerRowDxfId="5" headerRowBorderDxfId="8" tableBorderDxfId="9" totalsRowBorderDxfId="7">
  <autoFilter ref="L1:L7"/>
  <tableColumns count="1">
    <tableColumn id="1" name="Year_End_Bonus" dataDxfId="6">
      <calculatedColumnFormula>IF(AND(C2&gt;=150,E2="North"),500,300)</calculatedColumnFormula>
    </tableColumn>
  </tableColumns>
  <tableStyleInfo name="TableStyleMedium12" showFirstColumn="0" showLastColumn="0" showRowStripes="1" showColumnStripes="0"/>
</table>
</file>

<file path=xl/tables/table9.xml><?xml version="1.0" encoding="utf-8"?>
<table xmlns="http://schemas.openxmlformats.org/spreadsheetml/2006/main" id="10" name="Table10" displayName="Table10" ref="M1:M7" totalsRowShown="0" headerRowDxfId="1" headerRowBorderDxfId="3" tableBorderDxfId="4" totalsRowBorderDxfId="2">
  <autoFilter ref="M1:M7"/>
  <tableColumns count="1">
    <tableColumn id="1" name="Performers" dataDxfId="0">
      <calculatedColumnFormula>IF(C2&gt;=_xlfn.PERCENTILE.INC($C$2:$C$7,0.75),"High Performer","Normal")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workbookViewId="0">
      <selection activeCell="M2" sqref="M2"/>
    </sheetView>
  </sheetViews>
  <sheetFormatPr defaultRowHeight="15" x14ac:dyDescent="0.25"/>
  <cols>
    <col min="1" max="1" width="12.28515625" customWidth="1"/>
    <col min="2" max="2" width="10" customWidth="1"/>
    <col min="5" max="5" width="9.28515625" customWidth="1"/>
    <col min="6" max="6" width="14.140625" customWidth="1"/>
    <col min="7" max="7" width="12.5703125" bestFit="1" customWidth="1"/>
    <col min="8" max="8" width="19" customWidth="1"/>
    <col min="9" max="9" width="16.7109375" customWidth="1"/>
    <col min="10" max="10" width="20.140625" customWidth="1"/>
    <col min="11" max="11" width="12" customWidth="1"/>
    <col min="12" max="12" width="17.85546875" customWidth="1"/>
    <col min="13" max="13" width="14.7109375" bestFit="1" customWidth="1"/>
  </cols>
  <sheetData>
    <row r="1" spans="1:15" x14ac:dyDescent="0.25">
      <c r="A1" s="4" t="s">
        <v>14</v>
      </c>
      <c r="B1" s="5" t="s">
        <v>0</v>
      </c>
      <c r="C1" s="5" t="s">
        <v>1</v>
      </c>
      <c r="D1" s="5" t="s">
        <v>2</v>
      </c>
      <c r="E1" s="6" t="s">
        <v>3</v>
      </c>
      <c r="F1" s="12" t="s">
        <v>15</v>
      </c>
      <c r="G1" s="12" t="s">
        <v>16</v>
      </c>
      <c r="H1" s="12" t="s">
        <v>17</v>
      </c>
      <c r="I1" s="12" t="s">
        <v>18</v>
      </c>
      <c r="J1" s="12" t="s">
        <v>19</v>
      </c>
      <c r="K1" s="12" t="s">
        <v>20</v>
      </c>
      <c r="L1" s="12" t="s">
        <v>21</v>
      </c>
      <c r="M1" s="12" t="s">
        <v>22</v>
      </c>
    </row>
    <row r="2" spans="1:15" x14ac:dyDescent="0.25">
      <c r="A2" s="2">
        <v>101</v>
      </c>
      <c r="B2" s="1" t="s">
        <v>4</v>
      </c>
      <c r="C2" s="1">
        <v>120</v>
      </c>
      <c r="D2" s="1">
        <v>150</v>
      </c>
      <c r="E2" s="3" t="s">
        <v>10</v>
      </c>
      <c r="F2" s="11" t="str">
        <f>IF(C2&gt;=D2,"MET TARGET","NOT MET")</f>
        <v>NOT MET</v>
      </c>
      <c r="G2" s="11" t="str">
        <f>IF(AND(E2="North",C2&gt;200),"ELIGIBLE","NOT ELIGIBLE")</f>
        <v>NOT ELIGIBLE</v>
      </c>
      <c r="H2" s="11">
        <f>IF(C2&gt;=200,10%,IF(C2&gt;=150,7%,5%))</f>
        <v>0.05</v>
      </c>
      <c r="I2" s="11">
        <f>IF(C2&gt;=D2,C2*10%,C2*5%)</f>
        <v>6</v>
      </c>
      <c r="J2" s="11" t="str">
        <f>IF(C2&gt;=200,"Excellent",IF(C2&gt;=150,"Good","Needs Improvement"))</f>
        <v>Needs Improvement</v>
      </c>
      <c r="K2" s="11" t="str">
        <f>IF(C2&gt;200,"HIGH",IF(C2&gt;=100,"MEDIUM","LOW"))</f>
        <v>MEDIUM</v>
      </c>
      <c r="L2" s="11">
        <f>IF(AND(C2&gt;=150,E2="North"),500,300)</f>
        <v>300</v>
      </c>
      <c r="M2" s="11" t="str">
        <f t="shared" ref="M2:M7" si="0">IF(C2&gt;=_xlfn.PERCENTILE.INC($C$2:$C$7,0.75),"High Performer","Normal")</f>
        <v>Normal</v>
      </c>
    </row>
    <row r="3" spans="1:15" x14ac:dyDescent="0.25">
      <c r="A3" s="2">
        <v>102</v>
      </c>
      <c r="B3" s="1" t="s">
        <v>5</v>
      </c>
      <c r="C3" s="1">
        <v>150</v>
      </c>
      <c r="D3" s="1">
        <v>140</v>
      </c>
      <c r="E3" s="3" t="s">
        <v>11</v>
      </c>
      <c r="F3" s="11" t="str">
        <f t="shared" ref="F3:F7" si="1">IF(C3&gt;=D3,"MET TARGET","NOT MET")</f>
        <v>MET TARGET</v>
      </c>
      <c r="G3" s="11" t="str">
        <f t="shared" ref="G3:G7" si="2">IF(AND(E3="North",C3&gt;200),"ELIGIBLE","NOT ELIGIBLE")</f>
        <v>NOT ELIGIBLE</v>
      </c>
      <c r="H3" s="11">
        <f t="shared" ref="H3:H7" si="3">IF(C3&gt;=200,10%,IF(C3&gt;=150,7%,5%))</f>
        <v>7.0000000000000007E-2</v>
      </c>
      <c r="I3" s="11">
        <f t="shared" ref="I3:I7" si="4">IF(C3&gt;=D3,C3*10%,C3*5%)</f>
        <v>15</v>
      </c>
      <c r="J3" s="11" t="str">
        <f t="shared" ref="J3:J7" si="5">IF(C3&gt;=200,"Excellent",IF(C3&gt;=150,"Good","Needs Improvement"))</f>
        <v>Good</v>
      </c>
      <c r="K3" s="11" t="str">
        <f t="shared" ref="K3:K7" si="6">IF(C3&gt;200,"HIGH",IF(C3&gt;=100,"MEDIUM","LOW"))</f>
        <v>MEDIUM</v>
      </c>
      <c r="L3" s="11">
        <f t="shared" ref="L3:L7" si="7">IF(AND(C3&gt;=150,E3="North"),500,300)</f>
        <v>300</v>
      </c>
      <c r="M3" s="11" t="str">
        <f t="shared" si="0"/>
        <v>Normal</v>
      </c>
    </row>
    <row r="4" spans="1:15" x14ac:dyDescent="0.25">
      <c r="A4" s="2">
        <v>103</v>
      </c>
      <c r="B4" s="1" t="s">
        <v>6</v>
      </c>
      <c r="C4" s="1">
        <v>200</v>
      </c>
      <c r="D4" s="1">
        <v>200</v>
      </c>
      <c r="E4" s="3" t="s">
        <v>12</v>
      </c>
      <c r="F4" s="11" t="str">
        <f t="shared" si="1"/>
        <v>MET TARGET</v>
      </c>
      <c r="G4" s="11" t="str">
        <f t="shared" si="2"/>
        <v>NOT ELIGIBLE</v>
      </c>
      <c r="H4" s="11">
        <f t="shared" si="3"/>
        <v>0.1</v>
      </c>
      <c r="I4" s="11">
        <f t="shared" si="4"/>
        <v>20</v>
      </c>
      <c r="J4" s="11" t="str">
        <f t="shared" si="5"/>
        <v>Excellent</v>
      </c>
      <c r="K4" s="11" t="str">
        <f t="shared" si="6"/>
        <v>MEDIUM</v>
      </c>
      <c r="L4" s="11">
        <f t="shared" si="7"/>
        <v>300</v>
      </c>
      <c r="M4" s="11" t="str">
        <f t="shared" si="0"/>
        <v>High Performer</v>
      </c>
    </row>
    <row r="5" spans="1:15" x14ac:dyDescent="0.25">
      <c r="A5" s="2">
        <v>104</v>
      </c>
      <c r="B5" s="1" t="s">
        <v>7</v>
      </c>
      <c r="C5" s="1">
        <v>90</v>
      </c>
      <c r="D5" s="1">
        <v>100</v>
      </c>
      <c r="E5" s="3" t="s">
        <v>13</v>
      </c>
      <c r="F5" s="11" t="str">
        <f t="shared" si="1"/>
        <v>NOT MET</v>
      </c>
      <c r="G5" s="11" t="str">
        <f t="shared" si="2"/>
        <v>NOT ELIGIBLE</v>
      </c>
      <c r="H5" s="11">
        <f t="shared" si="3"/>
        <v>0.05</v>
      </c>
      <c r="I5" s="11">
        <f t="shared" si="4"/>
        <v>4.5</v>
      </c>
      <c r="J5" s="11" t="str">
        <f t="shared" si="5"/>
        <v>Needs Improvement</v>
      </c>
      <c r="K5" s="11" t="str">
        <f t="shared" si="6"/>
        <v>LOW</v>
      </c>
      <c r="L5" s="11">
        <f t="shared" si="7"/>
        <v>300</v>
      </c>
      <c r="M5" s="11" t="str">
        <f t="shared" si="0"/>
        <v>Normal</v>
      </c>
    </row>
    <row r="6" spans="1:15" x14ac:dyDescent="0.25">
      <c r="A6" s="2">
        <v>105</v>
      </c>
      <c r="B6" s="1" t="s">
        <v>8</v>
      </c>
      <c r="C6" s="1">
        <v>220</v>
      </c>
      <c r="D6" s="1">
        <v>210</v>
      </c>
      <c r="E6" s="3" t="s">
        <v>10</v>
      </c>
      <c r="F6" s="11" t="str">
        <f t="shared" si="1"/>
        <v>MET TARGET</v>
      </c>
      <c r="G6" s="11" t="str">
        <f t="shared" si="2"/>
        <v>ELIGIBLE</v>
      </c>
      <c r="H6" s="11">
        <f t="shared" si="3"/>
        <v>0.1</v>
      </c>
      <c r="I6" s="11">
        <f t="shared" si="4"/>
        <v>22</v>
      </c>
      <c r="J6" s="11" t="str">
        <f t="shared" si="5"/>
        <v>Excellent</v>
      </c>
      <c r="K6" s="11" t="str">
        <f t="shared" si="6"/>
        <v>HIGH</v>
      </c>
      <c r="L6" s="11">
        <f t="shared" si="7"/>
        <v>500</v>
      </c>
      <c r="M6" s="11" t="str">
        <f t="shared" si="0"/>
        <v>High Performer</v>
      </c>
    </row>
    <row r="7" spans="1:15" x14ac:dyDescent="0.25">
      <c r="A7" s="7">
        <v>106</v>
      </c>
      <c r="B7" s="8" t="s">
        <v>9</v>
      </c>
      <c r="C7" s="8">
        <v>130</v>
      </c>
      <c r="D7" s="8">
        <v>160</v>
      </c>
      <c r="E7" s="9" t="s">
        <v>11</v>
      </c>
      <c r="F7" s="10" t="str">
        <f t="shared" si="1"/>
        <v>NOT MET</v>
      </c>
      <c r="G7" s="10" t="str">
        <f t="shared" si="2"/>
        <v>NOT ELIGIBLE</v>
      </c>
      <c r="H7" s="10">
        <f t="shared" si="3"/>
        <v>0.05</v>
      </c>
      <c r="I7" s="10">
        <f t="shared" si="4"/>
        <v>6.5</v>
      </c>
      <c r="J7" s="10" t="str">
        <f t="shared" si="5"/>
        <v>Needs Improvement</v>
      </c>
      <c r="K7" s="10" t="str">
        <f t="shared" si="6"/>
        <v>MEDIUM</v>
      </c>
      <c r="L7" s="10">
        <f t="shared" si="7"/>
        <v>300</v>
      </c>
      <c r="M7" s="11" t="str">
        <f t="shared" si="0"/>
        <v>Normal</v>
      </c>
    </row>
    <row r="10" spans="1:15" x14ac:dyDescent="0.25">
      <c r="A10" s="13" t="s">
        <v>23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O10" t="s">
        <v>31</v>
      </c>
    </row>
    <row r="11" spans="1:15" x14ac:dyDescent="0.25">
      <c r="A11" s="13" t="s">
        <v>24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5" x14ac:dyDescent="0.25">
      <c r="A12" s="13" t="s">
        <v>25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5" x14ac:dyDescent="0.25">
      <c r="A13" s="13" t="s">
        <v>26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5" x14ac:dyDescent="0.25">
      <c r="A14" s="13" t="s">
        <v>27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5" x14ac:dyDescent="0.25">
      <c r="A15" s="13" t="s">
        <v>28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5" x14ac:dyDescent="0.25">
      <c r="A16" s="13" t="s">
        <v>29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25">
      <c r="A17" s="13" t="s">
        <v>30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2026-08-02T14:04:39Z</dcterms:created>
  <dcterms:modified xsi:type="dcterms:W3CDTF">2026-08-03T11:14:13Z</dcterms:modified>
</cp:coreProperties>
</file>