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/>
  </bookViews>
  <sheets>
    <sheet name="Products" sheetId="1" r:id="rId1"/>
    <sheet name="Ord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" l="1"/>
  <c r="J3" i="1"/>
  <c r="J4" i="1"/>
  <c r="J5" i="1"/>
  <c r="J6" i="1"/>
  <c r="J7" i="1"/>
  <c r="J2" i="1"/>
  <c r="I3" i="1"/>
  <c r="I4" i="1"/>
  <c r="I5" i="1"/>
  <c r="I6" i="1"/>
  <c r="I7" i="1"/>
  <c r="I2" i="1"/>
  <c r="D7" i="1"/>
  <c r="D3" i="1"/>
  <c r="D4" i="1"/>
  <c r="D5" i="1"/>
  <c r="D6" i="1"/>
  <c r="D2" i="1"/>
  <c r="G3" i="2"/>
  <c r="G4" i="2"/>
  <c r="G5" i="2"/>
  <c r="G6" i="2"/>
  <c r="G7" i="2"/>
  <c r="G2" i="2"/>
  <c r="F3" i="2"/>
  <c r="F4" i="2"/>
  <c r="F5" i="2"/>
  <c r="F6" i="2"/>
  <c r="F7" i="2"/>
  <c r="F2" i="2"/>
  <c r="D3" i="2"/>
  <c r="E3" i="2" s="1"/>
  <c r="D4" i="2"/>
  <c r="E4" i="2" s="1"/>
  <c r="D5" i="2"/>
  <c r="E5" i="2" s="1"/>
  <c r="D6" i="2"/>
  <c r="E6" i="2" s="1"/>
  <c r="D7" i="2"/>
  <c r="E7" i="2" s="1"/>
  <c r="D2" i="2"/>
  <c r="E2" i="2" s="1"/>
  <c r="H7" i="2" l="1"/>
  <c r="H5" i="2"/>
  <c r="H3" i="2"/>
  <c r="H2" i="2"/>
  <c r="H6" i="2"/>
  <c r="H4" i="2"/>
</calcChain>
</file>

<file path=xl/sharedStrings.xml><?xml version="1.0" encoding="utf-8"?>
<sst xmlns="http://schemas.openxmlformats.org/spreadsheetml/2006/main" count="36" uniqueCount="33">
  <si>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</si>
  <si>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</si>
  <si>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</si>
  <si>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</si>
  <si>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</si>
  <si>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</si>
  <si>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</si>
  <si>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</si>
  <si>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</si>
  <si>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</si>
  <si>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</si>
  <si>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1. Use VLOOKUP to find the product names for each ProductID in the Orders worksheet.</t>
  </si>
  <si>
    <t>TotalPrice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</si>
  <si>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</si>
  <si>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</si>
  <si>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</si>
  <si>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</si>
  <si>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</si>
  <si>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</si>
  <si>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Product Name</t>
  </si>
  <si>
    <t>Found/Not Found</t>
  </si>
  <si>
    <t>Dicounted Price</t>
  </si>
  <si>
    <t>Maximum Order Value</t>
  </si>
  <si>
    <t>Ordered/Not Ordered</t>
  </si>
  <si>
    <t>Product ID</t>
  </si>
  <si>
    <t>Total Quantity Sold</t>
  </si>
  <si>
    <t>Q7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</si>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</sst>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3" fillId="0" borderId="12" xfId="0" applyFont="1" applyBorder="1"/>
    <xf numFmtId="0" fontId="3" fillId="0" borderId="12" xfId="0" applyFont="1" applyFill="1" applyBorder="1"/>
    <xf numFmtId="0" fontId="2" fillId="3" borderId="1" xfId="2"/>
    <xf numFmtId="0" fontId="0" fillId="3" borderId="1" xfId="2" applyFont="1"/>
    <xf numFmtId="0" fontId="4" fillId="2" borderId="0" xfId="1" applyFont="1"/>
  </cellXfs>
  <cellStyles count="3">
    <cellStyle name="Calculation" xfId="2" builtinId="22"/>
    <cellStyle name="Neutral" xfId="1" builtinId="28"/>
    <cellStyle name="Normal" xfId="0" builtinId="0"/>
  </cellStyles>
  <dxfs count="4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C7" totalsRowShown="0" headerRowDxfId="39" headerRowBorderDxfId="37" tableBorderDxfId="38" totalsRowBorderDxfId="36">
  <tableColumns count="3">
    <tableColumn id="1" name="ProductID" dataDxfId="35"/>
    <tableColumn id="2" name="Product" dataDxfId="34"/>
    <tableColumn id="3" name="Price" dataDxfId="3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D1:D8" totalsRowShown="0" headerRowDxfId="28" headerRowBorderDxfId="31" tableBorderDxfId="32" totalsRowBorderDxfId="30">
  <tableColumns count="1">
    <tableColumn id="1" name="Ordered/Not Ordered" dataDxfId="29">
      <calculatedColumnFormula>IF(ISNA(VLOOKUP(Table2[[#This Row],[ProductID]],Table1[ProductID],1,0)), "Not Ordered", "Ordered")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H1:J7" totalsRowShown="0" headerRowDxfId="21" headerRowBorderDxfId="26" tableBorderDxfId="27" totalsRowBorderDxfId="25">
  <tableColumns count="3">
    <tableColumn id="1" name="Product ID" dataDxfId="24"/>
    <tableColumn id="2" name="Product" dataDxfId="23">
      <calculatedColumnFormula>VLOOKUP(H2,Table2[],2,0)</calculatedColumnFormula>
    </tableColumn>
    <tableColumn id="3" name="Total Quantity Sold" dataDxfId="22">
      <calculatedColumnFormula>SUMIF(Table1[ProductID],Products!H2,Table1[Quantity])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C7" totalsRowShown="0" headerRowDxfId="46" headerRowBorderDxfId="44" tableBorderDxfId="45" totalsRowBorderDxfId="43">
  <tableColumns count="3">
    <tableColumn id="1" name="OrderID" dataDxfId="42"/>
    <tableColumn id="2" name="ProductID" dataDxfId="41"/>
    <tableColumn id="3" name="Quantity" dataDxfId="40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D1:E8" totalsRowShown="0" headerRowDxfId="15" headerRowBorderDxfId="19" tableBorderDxfId="20" totalsRowBorderDxfId="18">
  <tableColumns count="2">
    <tableColumn id="1" name="Price" dataDxfId="17">
      <calculatedColumnFormula>VLOOKUP(Table1[[#This Row],[ProductID]],Table2[],3,0)</calculatedColumnFormula>
    </tableColumn>
    <tableColumn id="2" name="TotalPrice" dataDxfId="16">
      <calculatedColumnFormula>Table1[[#This Row],[Quantity]]*D2</calculatedColumnFormula>
    </tableColumn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F1:F8" totalsRowShown="0" headerRowDxfId="10" headerRowBorderDxfId="13" tableBorderDxfId="14" totalsRowBorderDxfId="12">
  <tableColumns count="1">
    <tableColumn id="1" name="Product Name" dataDxfId="11">
      <calculatedColumnFormula>VLOOKUP(Table1[[#This Row],[ProductID]],Table2[#All],2,0)</calculatedColumnFormula>
    </tableColumn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G1:G8" totalsRowShown="0" headerRowDxfId="5" headerRowBorderDxfId="8" tableBorderDxfId="9" totalsRowBorderDxfId="7">
  <tableColumns count="1">
    <tableColumn id="1" name="Found/Not Found" dataDxfId="6">
      <calculatedColumnFormula>IF(ISNA(VLOOKUP(Table1[[#This Row],[ProductID]],Table2[ProductID],1,0)), "Not Found", "Found")</calculatedColumnFormula>
    </tableColumn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H1:H8" totalsRowShown="0" headerRowDxfId="0" headerRowBorderDxfId="3" tableBorderDxfId="4" totalsRowBorderDxfId="2">
  <tableColumns count="1">
    <tableColumn id="1" name="Dicounted Price" dataDxfId="1">
      <calculatedColumnFormula>D2-D2*10%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D18" sqref="D18"/>
    </sheetView>
  </sheetViews>
  <sheetFormatPr defaultRowHeight="15" x14ac:dyDescent="0.25"/>
  <cols>
    <col min="1" max="1" width="11.85546875" customWidth="1"/>
    <col min="2" max="2" width="10" customWidth="1"/>
    <col min="4" max="4" width="22.5703125" customWidth="1"/>
    <col min="8" max="8" width="12.28515625" customWidth="1"/>
    <col min="9" max="9" width="10" customWidth="1"/>
    <col min="10" max="10" width="20" customWidth="1"/>
  </cols>
  <sheetData>
    <row r="1" spans="1:12" x14ac:dyDescent="0.25">
      <c r="A1" s="4" t="s">
        <v>0</v>
      </c>
      <c r="B1" s="5" t="s">
        <v>1</v>
      </c>
      <c r="C1" s="6" t="s">
        <v>2</v>
      </c>
      <c r="D1" s="12" t="s">
        <v>23</v>
      </c>
      <c r="H1" s="4" t="s">
        <v>24</v>
      </c>
      <c r="I1" s="5" t="s">
        <v>1</v>
      </c>
      <c r="J1" s="6" t="s">
        <v>25</v>
      </c>
    </row>
    <row r="2" spans="1:12" x14ac:dyDescent="0.25">
      <c r="A2" s="2">
        <v>101</v>
      </c>
      <c r="B2" s="1" t="s">
        <v>3</v>
      </c>
      <c r="C2" s="3">
        <v>120</v>
      </c>
      <c r="D2" s="11" t="str">
        <f>IF(ISNA(VLOOKUP(Table2[[#This Row],[ProductID]],Table1[ProductID],1,0)), "Not Ordered", "Ordered")</f>
        <v>Ordered</v>
      </c>
      <c r="G2" t="s">
        <v>26</v>
      </c>
      <c r="H2" s="2">
        <v>101</v>
      </c>
      <c r="I2" s="1" t="str">
        <f>VLOOKUP(H2,Table2[],2,0)</f>
        <v>Product A</v>
      </c>
      <c r="J2" s="3">
        <f>SUMIF(Table1[ProductID],Products!H2,Table1[Quantity])</f>
        <v>2</v>
      </c>
    </row>
    <row r="3" spans="1:12" x14ac:dyDescent="0.25">
      <c r="A3" s="2">
        <v>102</v>
      </c>
      <c r="B3" s="1" t="s">
        <v>4</v>
      </c>
      <c r="C3" s="3">
        <v>150</v>
      </c>
      <c r="D3" s="11" t="str">
        <f>IF(ISNA(VLOOKUP(Table2[[#This Row],[ProductID]],Table1[ProductID],1,0)), "Not Ordered", "Ordered")</f>
        <v>Ordered</v>
      </c>
      <c r="H3" s="2">
        <v>102</v>
      </c>
      <c r="I3" s="1" t="str">
        <f>VLOOKUP(H3,Table2[],2,0)</f>
        <v>Product B</v>
      </c>
      <c r="J3" s="3">
        <f>SUMIF(Table1[ProductID],Products!H3,Table1[Quantity])</f>
        <v>5</v>
      </c>
    </row>
    <row r="4" spans="1:12" x14ac:dyDescent="0.25">
      <c r="A4" s="2">
        <v>103</v>
      </c>
      <c r="B4" s="1" t="s">
        <v>5</v>
      </c>
      <c r="C4" s="3">
        <v>200</v>
      </c>
      <c r="D4" s="11" t="str">
        <f>IF(ISNA(VLOOKUP(Table2[[#This Row],[ProductID]],Table1[ProductID],1,0)), "Not Ordered", "Ordered")</f>
        <v>Ordered</v>
      </c>
      <c r="H4" s="2">
        <v>103</v>
      </c>
      <c r="I4" s="1" t="str">
        <f>VLOOKUP(H4,Table2[],2,0)</f>
        <v>Product C</v>
      </c>
      <c r="J4" s="3">
        <f>SUMIF(Table1[ProductID],Products!H4,Table1[Quantity])</f>
        <v>1</v>
      </c>
    </row>
    <row r="5" spans="1:12" x14ac:dyDescent="0.25">
      <c r="A5" s="2">
        <v>104</v>
      </c>
      <c r="B5" s="1" t="s">
        <v>6</v>
      </c>
      <c r="C5" s="3">
        <v>90</v>
      </c>
      <c r="D5" s="11" t="str">
        <f>IF(ISNA(VLOOKUP(Table2[[#This Row],[ProductID]],Table1[ProductID],1,0)), "Not Ordered", "Ordered")</f>
        <v>Ordered</v>
      </c>
      <c r="H5" s="2">
        <v>104</v>
      </c>
      <c r="I5" s="1" t="str">
        <f>VLOOKUP(H5,Table2[],2,0)</f>
        <v>Product D</v>
      </c>
      <c r="J5" s="3">
        <f>SUMIF(Table1[ProductID],Products!H5,Table1[Quantity])</f>
        <v>6</v>
      </c>
    </row>
    <row r="6" spans="1:12" x14ac:dyDescent="0.25">
      <c r="A6" s="2">
        <v>105</v>
      </c>
      <c r="B6" s="1" t="s">
        <v>7</v>
      </c>
      <c r="C6" s="3">
        <v>220</v>
      </c>
      <c r="D6" s="11" t="str">
        <f>IF(ISNA(VLOOKUP(Table2[[#This Row],[ProductID]],Table1[ProductID],1,0)), "Not Ordered", "Ordered")</f>
        <v>Ordered</v>
      </c>
      <c r="H6" s="2">
        <v>105</v>
      </c>
      <c r="I6" s="1" t="str">
        <f>VLOOKUP(H6,Table2[],2,0)</f>
        <v>Product E</v>
      </c>
      <c r="J6" s="3">
        <f>SUMIF(Table1[ProductID],Products!H6,Table1[Quantity])</f>
        <v>4</v>
      </c>
    </row>
    <row r="7" spans="1:12" x14ac:dyDescent="0.25">
      <c r="A7" s="7">
        <v>106</v>
      </c>
      <c r="B7" s="8" t="s">
        <v>8</v>
      </c>
      <c r="C7" s="9">
        <v>130</v>
      </c>
      <c r="D7" s="10" t="str">
        <f>IF(ISNA(VLOOKUP(Table2[[#This Row],[ProductID]],Table1[ProductID],1,0)), "Not Ordered", "Ordered")</f>
        <v>Ordered</v>
      </c>
      <c r="H7" s="7">
        <v>106</v>
      </c>
      <c r="I7" s="8" t="str">
        <f>VLOOKUP(H7,Table2[],2,0)</f>
        <v>Product F</v>
      </c>
      <c r="J7" s="9">
        <f>SUMIF(Table1[ProductID],Products!H7,Table1[Quantity])</f>
        <v>3</v>
      </c>
    </row>
    <row r="8" spans="1:12" x14ac:dyDescent="0.25">
      <c r="D8" s="10" t="s">
        <v>32</v>
      </c>
    </row>
    <row r="10" spans="1:12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16" t="s">
        <v>13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x14ac:dyDescent="0.25">
      <c r="A12" s="16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x14ac:dyDescent="0.25">
      <c r="A13" s="16" t="s">
        <v>15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x14ac:dyDescent="0.25">
      <c r="A14" s="16" t="s">
        <v>16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2" x14ac:dyDescent="0.25">
      <c r="A15" s="16" t="s">
        <v>17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2" x14ac:dyDescent="0.25">
      <c r="A16" s="16" t="s">
        <v>18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B11" sqref="B11"/>
    </sheetView>
  </sheetViews>
  <sheetFormatPr defaultRowHeight="15" x14ac:dyDescent="0.25"/>
  <cols>
    <col min="1" max="1" width="10.140625" customWidth="1"/>
    <col min="2" max="2" width="11.85546875" customWidth="1"/>
    <col min="3" max="4" width="10.85546875" customWidth="1"/>
    <col min="5" max="5" width="12" customWidth="1"/>
    <col min="6" max="6" width="15.7109375" customWidth="1"/>
    <col min="7" max="7" width="18.85546875" customWidth="1"/>
    <col min="8" max="8" width="17.140625" customWidth="1"/>
  </cols>
  <sheetData>
    <row r="1" spans="1:8" x14ac:dyDescent="0.25">
      <c r="A1" s="4" t="s">
        <v>9</v>
      </c>
      <c r="B1" s="5" t="s">
        <v>0</v>
      </c>
      <c r="C1" s="6" t="s">
        <v>10</v>
      </c>
      <c r="D1" s="4" t="s">
        <v>2</v>
      </c>
      <c r="E1" s="6" t="s">
        <v>12</v>
      </c>
      <c r="F1" s="12" t="s">
        <v>19</v>
      </c>
      <c r="G1" s="13" t="s">
        <v>20</v>
      </c>
      <c r="H1" s="13" t="s">
        <v>21</v>
      </c>
    </row>
    <row r="2" spans="1:8" x14ac:dyDescent="0.25">
      <c r="A2" s="2">
        <v>1</v>
      </c>
      <c r="B2" s="1">
        <v>101</v>
      </c>
      <c r="C2" s="3">
        <v>2</v>
      </c>
      <c r="D2" s="2">
        <f>VLOOKUP(Table1[[#This Row],[ProductID]],Table2[],3,0)</f>
        <v>120</v>
      </c>
      <c r="E2" s="3">
        <f>Table1[[#This Row],[Quantity]]*D2</f>
        <v>240</v>
      </c>
      <c r="F2" s="11" t="str">
        <f>VLOOKUP(Table1[[#This Row],[ProductID]],Table2[#All],2,0)</f>
        <v>Product A</v>
      </c>
      <c r="G2" s="11" t="str">
        <f>IF(ISNA(VLOOKUP(Table1[[#This Row],[ProductID]],Table2[ProductID],1,0)), "Not Found", "Found")</f>
        <v>Found</v>
      </c>
      <c r="H2" s="11">
        <f>D2-D2*10%</f>
        <v>108</v>
      </c>
    </row>
    <row r="3" spans="1:8" x14ac:dyDescent="0.25">
      <c r="A3" s="2">
        <v>2</v>
      </c>
      <c r="B3" s="1">
        <v>103</v>
      </c>
      <c r="C3" s="3">
        <v>1</v>
      </c>
      <c r="D3" s="2">
        <f>VLOOKUP(Table1[[#This Row],[ProductID]],Table2[],3,0)</f>
        <v>200</v>
      </c>
      <c r="E3" s="3">
        <f>Table1[[#This Row],[Quantity]]*D3</f>
        <v>200</v>
      </c>
      <c r="F3" s="11" t="str">
        <f>VLOOKUP(Table1[[#This Row],[ProductID]],Table2[#All],2,0)</f>
        <v>Product C</v>
      </c>
      <c r="G3" s="11" t="str">
        <f>IF(ISNA(VLOOKUP(Table1[[#This Row],[ProductID]],Table2[ProductID],1,0)), "Not Found", "Found")</f>
        <v>Found</v>
      </c>
      <c r="H3" s="11">
        <f t="shared" ref="H3:H7" si="0">D3-D3*10%</f>
        <v>180</v>
      </c>
    </row>
    <row r="4" spans="1:8" x14ac:dyDescent="0.25">
      <c r="A4" s="2">
        <v>3</v>
      </c>
      <c r="B4" s="1">
        <v>105</v>
      </c>
      <c r="C4" s="3">
        <v>4</v>
      </c>
      <c r="D4" s="2">
        <f>VLOOKUP(Table1[[#This Row],[ProductID]],Table2[],3,0)</f>
        <v>220</v>
      </c>
      <c r="E4" s="3">
        <f>Table1[[#This Row],[Quantity]]*D4</f>
        <v>880</v>
      </c>
      <c r="F4" s="11" t="str">
        <f>VLOOKUP(Table1[[#This Row],[ProductID]],Table2[#All],2,0)</f>
        <v>Product E</v>
      </c>
      <c r="G4" s="11" t="str">
        <f>IF(ISNA(VLOOKUP(Table1[[#This Row],[ProductID]],Table2[ProductID],1,0)), "Not Found", "Found")</f>
        <v>Found</v>
      </c>
      <c r="H4" s="11">
        <f t="shared" si="0"/>
        <v>198</v>
      </c>
    </row>
    <row r="5" spans="1:8" x14ac:dyDescent="0.25">
      <c r="A5" s="2">
        <v>4</v>
      </c>
      <c r="B5" s="1">
        <v>106</v>
      </c>
      <c r="C5" s="3">
        <v>3</v>
      </c>
      <c r="D5" s="2">
        <f>VLOOKUP(Table1[[#This Row],[ProductID]],Table2[],3,0)</f>
        <v>130</v>
      </c>
      <c r="E5" s="3">
        <f>Table1[[#This Row],[Quantity]]*D5</f>
        <v>390</v>
      </c>
      <c r="F5" s="11" t="str">
        <f>VLOOKUP(Table1[[#This Row],[ProductID]],Table2[#All],2,0)</f>
        <v>Product F</v>
      </c>
      <c r="G5" s="11" t="str">
        <f>IF(ISNA(VLOOKUP(Table1[[#This Row],[ProductID]],Table2[ProductID],1,0)), "Not Found", "Found")</f>
        <v>Found</v>
      </c>
      <c r="H5" s="11">
        <f t="shared" si="0"/>
        <v>117</v>
      </c>
    </row>
    <row r="6" spans="1:8" x14ac:dyDescent="0.25">
      <c r="A6" s="2">
        <v>5</v>
      </c>
      <c r="B6" s="1">
        <v>102</v>
      </c>
      <c r="C6" s="3">
        <v>5</v>
      </c>
      <c r="D6" s="2">
        <f>VLOOKUP(Table1[[#This Row],[ProductID]],Table2[],3,0)</f>
        <v>150</v>
      </c>
      <c r="E6" s="3">
        <f>Table1[[#This Row],[Quantity]]*D6</f>
        <v>750</v>
      </c>
      <c r="F6" s="11" t="str">
        <f>VLOOKUP(Table1[[#This Row],[ProductID]],Table2[#All],2,0)</f>
        <v>Product B</v>
      </c>
      <c r="G6" s="11" t="str">
        <f>IF(ISNA(VLOOKUP(Table1[[#This Row],[ProductID]],Table2[ProductID],1,0)), "Not Found", "Found")</f>
        <v>Found</v>
      </c>
      <c r="H6" s="11">
        <f t="shared" si="0"/>
        <v>135</v>
      </c>
    </row>
    <row r="7" spans="1:8" x14ac:dyDescent="0.25">
      <c r="A7" s="7">
        <v>6</v>
      </c>
      <c r="B7" s="8">
        <v>104</v>
      </c>
      <c r="C7" s="9">
        <v>6</v>
      </c>
      <c r="D7" s="7">
        <f>VLOOKUP(Table1[[#This Row],[ProductID]],Table2[],3,0)</f>
        <v>90</v>
      </c>
      <c r="E7" s="9">
        <f>Table1[[#This Row],[Quantity]]*D7</f>
        <v>540</v>
      </c>
      <c r="F7" s="10" t="str">
        <f>VLOOKUP(Table1[[#This Row],[ProductID]],Table2[#All],2,0)</f>
        <v>Product D</v>
      </c>
      <c r="G7" s="10" t="str">
        <f>IF(ISNA(VLOOKUP(Table1[[#This Row],[ProductID]],Table2[ProductID],1,0)), "Not Found", "Found")</f>
        <v>Found</v>
      </c>
      <c r="H7" s="10">
        <f t="shared" si="0"/>
        <v>81</v>
      </c>
    </row>
    <row r="8" spans="1:8" x14ac:dyDescent="0.25">
      <c r="D8" s="7" t="s">
        <v>28</v>
      </c>
      <c r="E8" s="9"/>
      <c r="F8" s="10" t="s">
        <v>27</v>
      </c>
      <c r="G8" s="10" t="s">
        <v>29</v>
      </c>
      <c r="H8" s="10" t="s">
        <v>30</v>
      </c>
    </row>
    <row r="10" spans="1:8" x14ac:dyDescent="0.25">
      <c r="B10" t="s">
        <v>31</v>
      </c>
      <c r="C10" s="14" t="s">
        <v>22</v>
      </c>
      <c r="D10" s="14"/>
      <c r="E10" s="15">
        <f>MAX(E2:E8)</f>
        <v>880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2026-08-07T01:12:01Z</dcterms:created>
  <dcterms:modified xsi:type="dcterms:W3CDTF">2026-08-08T11:06:36Z</dcterms:modified>
</cp:coreProperties>
</file>